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15CCCCF-39EF-421D-B4CA-47C2FA22A62E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Quantity Takeoff" sheetId="1" r:id="rId1"/>
    <sheet name="Cost Database" sheetId="2" r:id="rId2"/>
    <sheet name="Estimate Summary" sheetId="3" r:id="rId3"/>
    <sheet name="Bid Comparison" sheetId="4" r:id="rId4"/>
    <sheet name="Cost Analys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K5" i="1"/>
  <c r="J6" i="1"/>
  <c r="K6" i="1"/>
  <c r="J7" i="1"/>
  <c r="K7" i="1"/>
  <c r="J8" i="1"/>
  <c r="K8" i="1"/>
  <c r="J9" i="1"/>
  <c r="K9" i="1"/>
  <c r="J11" i="1"/>
  <c r="K11" i="1"/>
  <c r="J12" i="1"/>
  <c r="K12" i="1"/>
  <c r="J13" i="1"/>
  <c r="K13" i="1"/>
  <c r="J14" i="1"/>
  <c r="K14" i="1"/>
  <c r="J15" i="1"/>
  <c r="K15" i="1"/>
  <c r="J16" i="1"/>
  <c r="K16" i="1"/>
  <c r="J18" i="1"/>
  <c r="K18" i="1"/>
  <c r="J19" i="1"/>
  <c r="K19" i="1"/>
  <c r="J20" i="1"/>
  <c r="K20" i="1"/>
  <c r="J21" i="1"/>
  <c r="K21" i="1"/>
  <c r="J22" i="1"/>
  <c r="K22" i="1"/>
  <c r="J23" i="1"/>
  <c r="K23" i="1"/>
  <c r="K4" i="1"/>
  <c r="J4" i="1"/>
  <c r="F5" i="2"/>
  <c r="F6" i="2"/>
  <c r="F4" i="2"/>
  <c r="F19" i="1"/>
  <c r="I19" i="1" s="1"/>
  <c r="F20" i="1"/>
  <c r="I20" i="1" s="1"/>
  <c r="F21" i="1"/>
  <c r="I21" i="1" s="1"/>
  <c r="F22" i="1"/>
  <c r="I22" i="1" s="1"/>
  <c r="F23" i="1"/>
  <c r="I23" i="1" s="1"/>
  <c r="F18" i="1"/>
  <c r="I18" i="1" s="1"/>
  <c r="F12" i="1"/>
  <c r="I12" i="1" s="1"/>
  <c r="F13" i="1"/>
  <c r="I13" i="1" s="1"/>
  <c r="F14" i="1"/>
  <c r="I14" i="1" s="1"/>
  <c r="F15" i="1"/>
  <c r="I15" i="1" s="1"/>
  <c r="F16" i="1"/>
  <c r="I16" i="1" s="1"/>
  <c r="F11" i="1"/>
  <c r="I11" i="1" s="1"/>
  <c r="F5" i="1"/>
  <c r="F6" i="1"/>
  <c r="F7" i="1"/>
  <c r="F8" i="1"/>
  <c r="F9" i="1"/>
  <c r="F4" i="1"/>
  <c r="I5" i="1"/>
  <c r="I6" i="1"/>
  <c r="I7" i="1"/>
  <c r="I8" i="1"/>
  <c r="I9" i="1"/>
  <c r="I4" i="1"/>
  <c r="M4" i="1" l="1"/>
  <c r="L4" i="1"/>
  <c r="L9" i="1"/>
  <c r="M9" i="1"/>
  <c r="L8" i="1"/>
  <c r="M8" i="1"/>
  <c r="L7" i="1"/>
  <c r="M7" i="1"/>
  <c r="L6" i="1"/>
  <c r="M6" i="1"/>
  <c r="L5" i="1"/>
  <c r="M5" i="1"/>
  <c r="L11" i="1"/>
  <c r="M11" i="1"/>
  <c r="L16" i="1"/>
  <c r="M16" i="1"/>
  <c r="L15" i="1"/>
  <c r="M15" i="1"/>
  <c r="L14" i="1"/>
  <c r="M14" i="1"/>
  <c r="L13" i="1"/>
  <c r="M13" i="1"/>
  <c r="L12" i="1"/>
  <c r="M12" i="1"/>
  <c r="L18" i="1"/>
  <c r="M18" i="1"/>
  <c r="L23" i="1"/>
  <c r="M23" i="1"/>
  <c r="L22" i="1"/>
  <c r="M22" i="1"/>
  <c r="L21" i="1"/>
  <c r="M21" i="1"/>
  <c r="L20" i="1"/>
  <c r="M20" i="1"/>
  <c r="L19" i="1"/>
  <c r="M19" i="1"/>
  <c r="N19" i="1" l="1"/>
  <c r="N20" i="1"/>
  <c r="N21" i="1"/>
  <c r="N22" i="1"/>
  <c r="N23" i="1"/>
  <c r="C7" i="3"/>
  <c r="C7" i="5" s="1"/>
  <c r="B7" i="3"/>
  <c r="N18" i="1"/>
  <c r="N12" i="1"/>
  <c r="N13" i="1"/>
  <c r="N14" i="1"/>
  <c r="N15" i="1"/>
  <c r="N16" i="1"/>
  <c r="C6" i="3"/>
  <c r="C6" i="5" s="1"/>
  <c r="B6" i="3"/>
  <c r="N11" i="1"/>
  <c r="N5" i="1"/>
  <c r="N6" i="1"/>
  <c r="N7" i="1"/>
  <c r="N8" i="1"/>
  <c r="N9" i="1"/>
  <c r="B5" i="3"/>
  <c r="N4" i="1"/>
  <c r="C5" i="3"/>
  <c r="C5" i="5" l="1"/>
  <c r="C8" i="3"/>
  <c r="B5" i="5"/>
  <c r="B8" i="3"/>
  <c r="D5" i="3"/>
  <c r="B6" i="5"/>
  <c r="D6" i="3"/>
  <c r="D6" i="5" s="1"/>
  <c r="B7" i="5"/>
  <c r="D7" i="3"/>
  <c r="D7" i="5" s="1"/>
  <c r="D5" i="5" l="1"/>
  <c r="D5" i="4"/>
  <c r="E5" i="4" s="1"/>
  <c r="D6" i="4"/>
  <c r="E6" i="4" s="1"/>
  <c r="D4" i="4"/>
  <c r="E4" i="4" s="1"/>
  <c r="B12" i="4" s="1"/>
  <c r="D8" i="3"/>
  <c r="D11" i="3" l="1"/>
  <c r="D10" i="3"/>
  <c r="D12" i="3" s="1"/>
  <c r="E7" i="5"/>
  <c r="E6" i="5"/>
  <c r="E5" i="5"/>
  <c r="D13" i="3" l="1"/>
  <c r="D14" i="3" s="1"/>
</calcChain>
</file>

<file path=xl/sharedStrings.xml><?xml version="1.0" encoding="utf-8"?>
<sst xmlns="http://schemas.openxmlformats.org/spreadsheetml/2006/main" count="158" uniqueCount="85">
  <si>
    <t>Pine Street Office Renovation</t>
  </si>
  <si>
    <t>Quantity Takeoff &amp; Cost Estimate</t>
  </si>
  <si>
    <t>Item</t>
  </si>
  <si>
    <t>Location</t>
  </si>
  <si>
    <t>Length (ft)</t>
  </si>
  <si>
    <t>Width (ft)</t>
  </si>
  <si>
    <t>Height (ft)</t>
  </si>
  <si>
    <t>Base Quantity</t>
  </si>
  <si>
    <t>Unit</t>
  </si>
  <si>
    <t>Waste %</t>
  </si>
  <si>
    <t>Adjusted Quantity</t>
  </si>
  <si>
    <t>Material Unit Cost</t>
  </si>
  <si>
    <t>Labor Unit Cost</t>
  </si>
  <si>
    <t>Estimated Material Cost</t>
  </si>
  <si>
    <t>Estimated Labor Cost</t>
  </si>
  <si>
    <t>Total Estimated Cost</t>
  </si>
  <si>
    <t>Flooring</t>
  </si>
  <si>
    <t>Office A</t>
  </si>
  <si>
    <t>SF</t>
  </si>
  <si>
    <t>Office B</t>
  </si>
  <si>
    <t>Conference Room</t>
  </si>
  <si>
    <t>Break Room</t>
  </si>
  <si>
    <t>Open Office</t>
  </si>
  <si>
    <t>Hallway</t>
  </si>
  <si>
    <t>Baseboard</t>
  </si>
  <si>
    <t>LF</t>
  </si>
  <si>
    <t>Wall Surface</t>
  </si>
  <si>
    <t>Cost Database</t>
  </si>
  <si>
    <t>Material</t>
  </si>
  <si>
    <t>Total Unit Cost</t>
  </si>
  <si>
    <t>Commercial LVP</t>
  </si>
  <si>
    <t>4" Vinyl Base</t>
  </si>
  <si>
    <t>Interior Paint/Drywall Finish</t>
  </si>
  <si>
    <t>Preliminary Cost Estimate</t>
  </si>
  <si>
    <t>Cost Category</t>
  </si>
  <si>
    <t>Material Cost</t>
  </si>
  <si>
    <t>Labor Cost</t>
  </si>
  <si>
    <t>Total Cost</t>
  </si>
  <si>
    <t>Direct Cost Total</t>
  </si>
  <si>
    <t>Contingency</t>
  </si>
  <si>
    <t>Overhead</t>
  </si>
  <si>
    <t>Subtotal</t>
  </si>
  <si>
    <t>Profit/Markup</t>
  </si>
  <si>
    <t>Final Estimated Bid</t>
  </si>
  <si>
    <t>Estimate Assumptions</t>
  </si>
  <si>
    <t>• Preliminary estimate based on fictional case-study quantities and unit costs.</t>
  </si>
  <si>
    <t>• Unit costs include simplified material and labor assumptions for portfolio demonstration.</t>
  </si>
  <si>
    <t>• Final bid includes 5% contingency, 10% overhead, and 8% profit/markup.</t>
  </si>
  <si>
    <t>Bid Comparison</t>
  </si>
  <si>
    <t>Vendor</t>
  </si>
  <si>
    <t>Scope</t>
  </si>
  <si>
    <t>Bid Amount</t>
  </si>
  <si>
    <t>Estimated Cost</t>
  </si>
  <si>
    <t>Variance</t>
  </si>
  <si>
    <t>Schedule</t>
  </si>
  <si>
    <t>Bid Completeness</t>
  </si>
  <si>
    <t>Notes</t>
  </si>
  <si>
    <t>Recommendation</t>
  </si>
  <si>
    <t>Gulf Coast Flooring</t>
  </si>
  <si>
    <t>5 Days</t>
  </si>
  <si>
    <t>Complete</t>
  </si>
  <si>
    <t>Includes material, installation, delivery &amp; cleanup</t>
  </si>
  <si>
    <t>Recommended</t>
  </si>
  <si>
    <t>Lone Star Interiors</t>
  </si>
  <si>
    <t>7 Days</t>
  </si>
  <si>
    <t>Incomplete</t>
  </si>
  <si>
    <t>Excludes floor prep and material delivery</t>
  </si>
  <si>
    <t>Not Recommended</t>
  </si>
  <si>
    <t>Bayou Commercial Floors</t>
  </si>
  <si>
    <t>4 Days</t>
  </si>
  <si>
    <t>Alternate</t>
  </si>
  <si>
    <t>Bid Analysis</t>
  </si>
  <si>
    <t>Recommended Vendor</t>
  </si>
  <si>
    <t>Gulf Coast Floring</t>
  </si>
  <si>
    <t>Variance to Estimate</t>
  </si>
  <si>
    <t>Rationale</t>
  </si>
  <si>
    <t>Best-value complete bid; includes material, installation, delivery, and cleanup while remaining below the internal estimate.</t>
  </si>
  <si>
    <t>Bid Review Note</t>
  </si>
  <si>
    <t>Lone Star submitted the lowest bid but excluded floor preparation and material delivery. Bayou submitted a complete bid with the shortest schedule but was $615.60 above the internal estimate.</t>
  </si>
  <si>
    <t>Cost Analysis</t>
  </si>
  <si>
    <t>% of Direct Cost</t>
  </si>
  <si>
    <t>Key Cost Insights</t>
  </si>
  <si>
    <t>• Flooring is the largest cost category, representing 47.79% of direct cost.</t>
  </si>
  <si>
    <t>• Wall surface work represents 45.51% of direct cost and is more labor-intensive than material-intensive.</t>
  </si>
  <si>
    <t>• Flooring and wall surface work combined account for 93.30% of direct project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</si>
</sst>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9" fontId="0" fillId="0" borderId="0" xfId="0" applyNumberFormat="1"/>
    <xf numFmtId="8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Font="1"/>
    <xf numFmtId="164" fontId="1" fillId="0" borderId="0" xfId="0" applyNumberFormat="1" applyFont="1"/>
    <xf numFmtId="0" fontId="2" fillId="0" borderId="0" xfId="0" applyFont="1"/>
    <xf numFmtId="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0" fontId="3" fillId="2" borderId="1" xfId="0" applyFont="1" applyFill="1" applyBorder="1"/>
    <xf numFmtId="0" fontId="0" fillId="2" borderId="1" xfId="0" applyFill="1" applyBorder="1"/>
    <xf numFmtId="164" fontId="4" fillId="2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 Cost by Scope: Material vs. Labor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'Cost Analysis'!$B$4</c:f>
              <c:strCache>
                <c:ptCount val="1"/>
                <c:pt idx="0">
                  <c:v>Material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Analysis'!$A$5:$A$7</c:f>
              <c:strCache>
                <c:ptCount val="3"/>
                <c:pt idx="0">
                  <c:v>Flooring</c:v>
                </c:pt>
                <c:pt idx="1">
                  <c:v>Baseboard</c:v>
                </c:pt>
                <c:pt idx="2">
                  <c:v>Wall Surface</c:v>
                </c:pt>
              </c:strCache>
            </c:strRef>
          </c:cat>
          <c:val>
            <c:numRef>
              <c:f>'Cost Analysis'!$B$5:$B$7</c:f>
              <c:numCache>
                <c:formatCode>"$"#,##0.00</c:formatCode>
                <c:ptCount val="3"/>
                <c:pt idx="0">
                  <c:v>4633.2000000000007</c:v>
                </c:pt>
                <c:pt idx="1">
                  <c:v>554.4</c:v>
                </c:pt>
                <c:pt idx="2">
                  <c:v>3029.4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8-4C5F-9910-434C74EC6FC1}"/>
            </c:ext>
          </c:extLst>
        </c:ser>
        <c:ser>
          <c:idx val="1"/>
          <c:order val="1"/>
          <c:tx>
            <c:strRef>
              <c:f>'Cost Analysis'!$C$4</c:f>
              <c:strCache>
                <c:ptCount val="1"/>
                <c:pt idx="0">
                  <c:v>Labor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Analysis'!$A$5:$A$7</c:f>
              <c:strCache>
                <c:ptCount val="3"/>
                <c:pt idx="0">
                  <c:v>Flooring</c:v>
                </c:pt>
                <c:pt idx="1">
                  <c:v>Baseboard</c:v>
                </c:pt>
                <c:pt idx="2">
                  <c:v>Wall Surface</c:v>
                </c:pt>
              </c:strCache>
            </c:strRef>
          </c:cat>
          <c:val>
            <c:numRef>
              <c:f>'Cost Analysis'!$C$5:$C$7</c:f>
              <c:numCache>
                <c:formatCode>"$"#,##0.00</c:formatCode>
                <c:ptCount val="3"/>
                <c:pt idx="0">
                  <c:v>2851.2</c:v>
                </c:pt>
                <c:pt idx="1">
                  <c:v>495</c:v>
                </c:pt>
                <c:pt idx="2">
                  <c:v>4098.6000000000004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78-4C5F-9910-434C74EC6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3753351"/>
        <c:axId val="2070319623"/>
      </c:barChart>
      <c:catAx>
        <c:axId val="77375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319623"/>
        <c:crosses val="autoZero"/>
        <c:auto val="1"/>
        <c:lblAlgn val="ctr"/>
        <c:lblOffset val="100"/>
        <c:noMultiLvlLbl val="0"/>
      </c:catAx>
      <c:valAx>
        <c:axId val="207031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75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0</xdr:rowOff>
    </xdr:from>
    <xdr:to>
      <xdr:col>3</xdr:col>
      <xdr:colOff>609600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95D28F-CC9B-5CBA-519E-699009C1B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workbookViewId="0">
      <pane ySplit="3" topLeftCell="A4" activePane="bottomLeft" state="frozen"/>
      <selection pane="bottomLeft" activeCell="F11" sqref="F11"/>
    </sheetView>
  </sheetViews>
  <sheetFormatPr defaultRowHeight="15"/>
  <cols>
    <col min="1" max="1" width="12" bestFit="1" customWidth="1"/>
    <col min="2" max="2" width="17" bestFit="1" customWidth="1"/>
    <col min="3" max="3" width="10.42578125" bestFit="1" customWidth="1"/>
    <col min="4" max="4" width="9.85546875" bestFit="1" customWidth="1"/>
    <col min="5" max="5" width="10.28515625" bestFit="1" customWidth="1"/>
    <col min="6" max="6" width="13.42578125" bestFit="1" customWidth="1"/>
    <col min="9" max="10" width="17.140625" bestFit="1" customWidth="1"/>
    <col min="11" max="11" width="14.7109375" bestFit="1" customWidth="1"/>
    <col min="12" max="12" width="23" bestFit="1" customWidth="1"/>
    <col min="13" max="13" width="19.85546875" bestFit="1" customWidth="1"/>
    <col min="14" max="14" width="19.42578125" bestFit="1" customWidth="1"/>
  </cols>
  <sheetData>
    <row r="1" spans="1:14" ht="18.75">
      <c r="A1" s="14" t="s">
        <v>0</v>
      </c>
    </row>
    <row r="2" spans="1:14">
      <c r="A2" s="7" t="s">
        <v>1</v>
      </c>
    </row>
    <row r="3" spans="1:14" s="21" customFormat="1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</row>
    <row r="4" spans="1:14">
      <c r="A4" t="s">
        <v>16</v>
      </c>
      <c r="B4" t="s">
        <v>17</v>
      </c>
      <c r="C4">
        <v>12</v>
      </c>
      <c r="D4">
        <v>10</v>
      </c>
      <c r="F4">
        <f>C4*D4</f>
        <v>120</v>
      </c>
      <c r="G4" t="s">
        <v>18</v>
      </c>
      <c r="H4" s="1">
        <v>0.1</v>
      </c>
      <c r="I4">
        <f>F4*(1+H4)</f>
        <v>132</v>
      </c>
      <c r="J4" s="3">
        <f>_xlfn.XLOOKUP(A4,'Cost Database'!A:A,'Cost Database'!D:D)</f>
        <v>3.25</v>
      </c>
      <c r="K4" s="3">
        <f>_xlfn.XLOOKUP(A4,'Cost Database'!A:A,'Cost Database'!E:E)</f>
        <v>2</v>
      </c>
      <c r="L4" s="3">
        <f>I4*J4</f>
        <v>429</v>
      </c>
      <c r="M4" s="3">
        <f>I4*K4</f>
        <v>264</v>
      </c>
      <c r="N4" s="3">
        <f>L4+M4</f>
        <v>693</v>
      </c>
    </row>
    <row r="5" spans="1:14">
      <c r="A5" t="s">
        <v>16</v>
      </c>
      <c r="B5" t="s">
        <v>19</v>
      </c>
      <c r="C5">
        <v>12</v>
      </c>
      <c r="D5">
        <v>10</v>
      </c>
      <c r="F5">
        <f t="shared" ref="F5:F9" si="0">C5*D5</f>
        <v>120</v>
      </c>
      <c r="G5" t="s">
        <v>18</v>
      </c>
      <c r="H5" s="1">
        <v>0.1</v>
      </c>
      <c r="I5">
        <f t="shared" ref="I5:I9" si="1">F5*(1+H5)</f>
        <v>132</v>
      </c>
      <c r="J5" s="3">
        <f>_xlfn.XLOOKUP(A5,'Cost Database'!A:A,'Cost Database'!D:D)</f>
        <v>3.25</v>
      </c>
      <c r="K5" s="3">
        <f>_xlfn.XLOOKUP(A5,'Cost Database'!A:A,'Cost Database'!E:E)</f>
        <v>2</v>
      </c>
      <c r="L5" s="3">
        <f t="shared" ref="L5:L23" si="2">I5*J5</f>
        <v>429</v>
      </c>
      <c r="M5" s="3">
        <f t="shared" ref="M5:M23" si="3">I5*K5</f>
        <v>264</v>
      </c>
      <c r="N5" s="3">
        <f t="shared" ref="N5:N23" si="4">L5+M5</f>
        <v>693</v>
      </c>
    </row>
    <row r="6" spans="1:14">
      <c r="A6" t="s">
        <v>16</v>
      </c>
      <c r="B6" t="s">
        <v>20</v>
      </c>
      <c r="C6">
        <v>18</v>
      </c>
      <c r="D6">
        <v>14</v>
      </c>
      <c r="F6">
        <f t="shared" si="0"/>
        <v>252</v>
      </c>
      <c r="G6" t="s">
        <v>18</v>
      </c>
      <c r="H6" s="1">
        <v>0.1</v>
      </c>
      <c r="I6">
        <f t="shared" si="1"/>
        <v>277.20000000000005</v>
      </c>
      <c r="J6" s="3">
        <f>_xlfn.XLOOKUP(A6,'Cost Database'!A:A,'Cost Database'!D:D)</f>
        <v>3.25</v>
      </c>
      <c r="K6" s="3">
        <f>_xlfn.XLOOKUP(A6,'Cost Database'!A:A,'Cost Database'!E:E)</f>
        <v>2</v>
      </c>
      <c r="L6" s="3">
        <f t="shared" si="2"/>
        <v>900.90000000000009</v>
      </c>
      <c r="M6" s="3">
        <f t="shared" si="3"/>
        <v>554.40000000000009</v>
      </c>
      <c r="N6" s="3">
        <f t="shared" si="4"/>
        <v>1455.3000000000002</v>
      </c>
    </row>
    <row r="7" spans="1:14">
      <c r="A7" t="s">
        <v>16</v>
      </c>
      <c r="B7" t="s">
        <v>21</v>
      </c>
      <c r="C7">
        <v>12</v>
      </c>
      <c r="D7">
        <v>12</v>
      </c>
      <c r="F7">
        <f t="shared" si="0"/>
        <v>144</v>
      </c>
      <c r="G7" t="s">
        <v>18</v>
      </c>
      <c r="H7" s="1">
        <v>0.1</v>
      </c>
      <c r="I7">
        <f t="shared" si="1"/>
        <v>158.4</v>
      </c>
      <c r="J7" s="3">
        <f>_xlfn.XLOOKUP(A7,'Cost Database'!A:A,'Cost Database'!D:D)</f>
        <v>3.25</v>
      </c>
      <c r="K7" s="3">
        <f>_xlfn.XLOOKUP(A7,'Cost Database'!A:A,'Cost Database'!E:E)</f>
        <v>2</v>
      </c>
      <c r="L7" s="3">
        <f t="shared" si="2"/>
        <v>514.80000000000007</v>
      </c>
      <c r="M7" s="3">
        <f t="shared" si="3"/>
        <v>316.8</v>
      </c>
      <c r="N7" s="3">
        <f t="shared" si="4"/>
        <v>831.60000000000014</v>
      </c>
    </row>
    <row r="8" spans="1:14">
      <c r="A8" t="s">
        <v>16</v>
      </c>
      <c r="B8" t="s">
        <v>22</v>
      </c>
      <c r="C8">
        <v>24</v>
      </c>
      <c r="D8">
        <v>20</v>
      </c>
      <c r="F8">
        <f t="shared" si="0"/>
        <v>480</v>
      </c>
      <c r="G8" t="s">
        <v>18</v>
      </c>
      <c r="H8" s="1">
        <v>0.1</v>
      </c>
      <c r="I8">
        <f t="shared" si="1"/>
        <v>528</v>
      </c>
      <c r="J8" s="3">
        <f>_xlfn.XLOOKUP(A8,'Cost Database'!A:A,'Cost Database'!D:D)</f>
        <v>3.25</v>
      </c>
      <c r="K8" s="3">
        <f>_xlfn.XLOOKUP(A8,'Cost Database'!A:A,'Cost Database'!E:E)</f>
        <v>2</v>
      </c>
      <c r="L8" s="3">
        <f t="shared" si="2"/>
        <v>1716</v>
      </c>
      <c r="M8" s="3">
        <f t="shared" si="3"/>
        <v>1056</v>
      </c>
      <c r="N8" s="3">
        <f t="shared" si="4"/>
        <v>2772</v>
      </c>
    </row>
    <row r="9" spans="1:14">
      <c r="A9" t="s">
        <v>16</v>
      </c>
      <c r="B9" t="s">
        <v>23</v>
      </c>
      <c r="C9">
        <v>30</v>
      </c>
      <c r="D9">
        <v>6</v>
      </c>
      <c r="F9">
        <f t="shared" si="0"/>
        <v>180</v>
      </c>
      <c r="G9" t="s">
        <v>18</v>
      </c>
      <c r="H9" s="1">
        <v>0.1</v>
      </c>
      <c r="I9">
        <f t="shared" si="1"/>
        <v>198.00000000000003</v>
      </c>
      <c r="J9" s="3">
        <f>_xlfn.XLOOKUP(A9,'Cost Database'!A:A,'Cost Database'!D:D)</f>
        <v>3.25</v>
      </c>
      <c r="K9" s="3">
        <f>_xlfn.XLOOKUP(A9,'Cost Database'!A:A,'Cost Database'!E:E)</f>
        <v>2</v>
      </c>
      <c r="L9" s="3">
        <f t="shared" si="2"/>
        <v>643.50000000000011</v>
      </c>
      <c r="M9" s="3">
        <f t="shared" si="3"/>
        <v>396.00000000000006</v>
      </c>
      <c r="N9" s="3">
        <f t="shared" si="4"/>
        <v>1039.5000000000002</v>
      </c>
    </row>
    <row r="10" spans="1:14">
      <c r="J10" s="3"/>
      <c r="K10" s="3"/>
      <c r="L10" s="3"/>
      <c r="M10" s="3"/>
      <c r="N10" s="3"/>
    </row>
    <row r="11" spans="1:14">
      <c r="A11" t="s">
        <v>24</v>
      </c>
      <c r="B11" t="s">
        <v>17</v>
      </c>
      <c r="C11">
        <v>12</v>
      </c>
      <c r="D11">
        <v>10</v>
      </c>
      <c r="F11">
        <f>2*C11+2*D11</f>
        <v>44</v>
      </c>
      <c r="G11" t="s">
        <v>25</v>
      </c>
      <c r="H11" s="1">
        <v>0.1</v>
      </c>
      <c r="I11">
        <f>F11*(1+H11)</f>
        <v>48.400000000000006</v>
      </c>
      <c r="J11" s="3">
        <f>_xlfn.XLOOKUP(A11,'Cost Database'!A:A,'Cost Database'!D:D)</f>
        <v>1.4</v>
      </c>
      <c r="K11" s="3">
        <f>_xlfn.XLOOKUP(A11,'Cost Database'!A:A,'Cost Database'!E:E)</f>
        <v>1.25</v>
      </c>
      <c r="L11" s="3">
        <f t="shared" si="2"/>
        <v>67.760000000000005</v>
      </c>
      <c r="M11" s="3">
        <f t="shared" si="3"/>
        <v>60.500000000000007</v>
      </c>
      <c r="N11" s="3">
        <f t="shared" si="4"/>
        <v>128.26000000000002</v>
      </c>
    </row>
    <row r="12" spans="1:14">
      <c r="A12" t="s">
        <v>24</v>
      </c>
      <c r="B12" t="s">
        <v>19</v>
      </c>
      <c r="C12">
        <v>12</v>
      </c>
      <c r="D12">
        <v>10</v>
      </c>
      <c r="F12">
        <f t="shared" ref="F12:F16" si="5">2*C12+2*D12</f>
        <v>44</v>
      </c>
      <c r="G12" t="s">
        <v>25</v>
      </c>
      <c r="H12" s="1">
        <v>0.1</v>
      </c>
      <c r="I12">
        <f t="shared" ref="I12:I16" si="6">F12*(1+H12)</f>
        <v>48.400000000000006</v>
      </c>
      <c r="J12" s="3">
        <f>_xlfn.XLOOKUP(A12,'Cost Database'!A:A,'Cost Database'!D:D)</f>
        <v>1.4</v>
      </c>
      <c r="K12" s="3">
        <f>_xlfn.XLOOKUP(A12,'Cost Database'!A:A,'Cost Database'!E:E)</f>
        <v>1.25</v>
      </c>
      <c r="L12" s="3">
        <f t="shared" si="2"/>
        <v>67.760000000000005</v>
      </c>
      <c r="M12" s="3">
        <f t="shared" si="3"/>
        <v>60.500000000000007</v>
      </c>
      <c r="N12" s="3">
        <f t="shared" si="4"/>
        <v>128.26000000000002</v>
      </c>
    </row>
    <row r="13" spans="1:14">
      <c r="A13" t="s">
        <v>24</v>
      </c>
      <c r="B13" t="s">
        <v>20</v>
      </c>
      <c r="C13">
        <v>18</v>
      </c>
      <c r="D13">
        <v>14</v>
      </c>
      <c r="F13">
        <f t="shared" si="5"/>
        <v>64</v>
      </c>
      <c r="G13" t="s">
        <v>25</v>
      </c>
      <c r="H13" s="1">
        <v>0.1</v>
      </c>
      <c r="I13">
        <f t="shared" si="6"/>
        <v>70.400000000000006</v>
      </c>
      <c r="J13" s="3">
        <f>_xlfn.XLOOKUP(A13,'Cost Database'!A:A,'Cost Database'!D:D)</f>
        <v>1.4</v>
      </c>
      <c r="K13" s="3">
        <f>_xlfn.XLOOKUP(A13,'Cost Database'!A:A,'Cost Database'!E:E)</f>
        <v>1.25</v>
      </c>
      <c r="L13" s="3">
        <f t="shared" si="2"/>
        <v>98.56</v>
      </c>
      <c r="M13" s="3">
        <f t="shared" si="3"/>
        <v>88</v>
      </c>
      <c r="N13" s="3">
        <f t="shared" si="4"/>
        <v>186.56</v>
      </c>
    </row>
    <row r="14" spans="1:14">
      <c r="A14" t="s">
        <v>24</v>
      </c>
      <c r="B14" t="s">
        <v>21</v>
      </c>
      <c r="C14">
        <v>12</v>
      </c>
      <c r="D14">
        <v>12</v>
      </c>
      <c r="F14">
        <f t="shared" si="5"/>
        <v>48</v>
      </c>
      <c r="G14" t="s">
        <v>25</v>
      </c>
      <c r="H14" s="1">
        <v>0.1</v>
      </c>
      <c r="I14">
        <f t="shared" si="6"/>
        <v>52.800000000000004</v>
      </c>
      <c r="J14" s="3">
        <f>_xlfn.XLOOKUP(A14,'Cost Database'!A:A,'Cost Database'!D:D)</f>
        <v>1.4</v>
      </c>
      <c r="K14" s="3">
        <f>_xlfn.XLOOKUP(A14,'Cost Database'!A:A,'Cost Database'!E:E)</f>
        <v>1.25</v>
      </c>
      <c r="L14" s="3">
        <f t="shared" si="2"/>
        <v>73.92</v>
      </c>
      <c r="M14" s="3">
        <f t="shared" si="3"/>
        <v>66</v>
      </c>
      <c r="N14" s="3">
        <f t="shared" si="4"/>
        <v>139.92000000000002</v>
      </c>
    </row>
    <row r="15" spans="1:14">
      <c r="A15" t="s">
        <v>24</v>
      </c>
      <c r="B15" t="s">
        <v>22</v>
      </c>
      <c r="C15">
        <v>24</v>
      </c>
      <c r="D15">
        <v>20</v>
      </c>
      <c r="F15">
        <f t="shared" si="5"/>
        <v>88</v>
      </c>
      <c r="G15" t="s">
        <v>25</v>
      </c>
      <c r="H15" s="1">
        <v>0.1</v>
      </c>
      <c r="I15">
        <f t="shared" si="6"/>
        <v>96.800000000000011</v>
      </c>
      <c r="J15" s="3">
        <f>_xlfn.XLOOKUP(A15,'Cost Database'!A:A,'Cost Database'!D:D)</f>
        <v>1.4</v>
      </c>
      <c r="K15" s="3">
        <f>_xlfn.XLOOKUP(A15,'Cost Database'!A:A,'Cost Database'!E:E)</f>
        <v>1.25</v>
      </c>
      <c r="L15" s="3">
        <f t="shared" si="2"/>
        <v>135.52000000000001</v>
      </c>
      <c r="M15" s="3">
        <f t="shared" si="3"/>
        <v>121.00000000000001</v>
      </c>
      <c r="N15" s="3">
        <f t="shared" si="4"/>
        <v>256.52000000000004</v>
      </c>
    </row>
    <row r="16" spans="1:14">
      <c r="A16" t="s">
        <v>24</v>
      </c>
      <c r="B16" t="s">
        <v>23</v>
      </c>
      <c r="C16">
        <v>30</v>
      </c>
      <c r="D16">
        <v>6</v>
      </c>
      <c r="F16">
        <f t="shared" si="5"/>
        <v>72</v>
      </c>
      <c r="G16" t="s">
        <v>25</v>
      </c>
      <c r="H16" s="1">
        <v>0.1</v>
      </c>
      <c r="I16">
        <f t="shared" si="6"/>
        <v>79.2</v>
      </c>
      <c r="J16" s="3">
        <f>_xlfn.XLOOKUP(A16,'Cost Database'!A:A,'Cost Database'!D:D)</f>
        <v>1.4</v>
      </c>
      <c r="K16" s="3">
        <f>_xlfn.XLOOKUP(A16,'Cost Database'!A:A,'Cost Database'!E:E)</f>
        <v>1.25</v>
      </c>
      <c r="L16" s="3">
        <f t="shared" si="2"/>
        <v>110.88</v>
      </c>
      <c r="M16" s="3">
        <f t="shared" si="3"/>
        <v>99</v>
      </c>
      <c r="N16" s="3">
        <f t="shared" si="4"/>
        <v>209.88</v>
      </c>
    </row>
    <row r="17" spans="1:14">
      <c r="J17" s="3"/>
      <c r="K17" s="3"/>
      <c r="L17" s="3"/>
      <c r="M17" s="3"/>
      <c r="N17" s="3"/>
    </row>
    <row r="18" spans="1:14">
      <c r="A18" t="s">
        <v>26</v>
      </c>
      <c r="B18" t="s">
        <v>17</v>
      </c>
      <c r="C18">
        <v>12</v>
      </c>
      <c r="D18">
        <v>10</v>
      </c>
      <c r="E18">
        <v>9</v>
      </c>
      <c r="F18">
        <f>2*(C18+D18)*E18</f>
        <v>396</v>
      </c>
      <c r="G18" t="s">
        <v>18</v>
      </c>
      <c r="H18" s="1">
        <v>0.1</v>
      </c>
      <c r="I18">
        <f>F18*(1+H18)</f>
        <v>435.6</v>
      </c>
      <c r="J18" s="3">
        <f>_xlfn.XLOOKUP(A18,'Cost Database'!A:A,'Cost Database'!D:D)</f>
        <v>0.85</v>
      </c>
      <c r="K18" s="3">
        <f>_xlfn.XLOOKUP(A18,'Cost Database'!A:A,'Cost Database'!E:E)</f>
        <v>1.1499999999999999</v>
      </c>
      <c r="L18" s="3">
        <f t="shared" si="2"/>
        <v>370.26</v>
      </c>
      <c r="M18" s="3">
        <f t="shared" si="3"/>
        <v>500.94</v>
      </c>
      <c r="N18" s="3">
        <f t="shared" si="4"/>
        <v>871.2</v>
      </c>
    </row>
    <row r="19" spans="1:14">
      <c r="A19" t="s">
        <v>26</v>
      </c>
      <c r="B19" t="s">
        <v>19</v>
      </c>
      <c r="C19">
        <v>12</v>
      </c>
      <c r="D19">
        <v>10</v>
      </c>
      <c r="E19">
        <v>9</v>
      </c>
      <c r="F19">
        <f t="shared" ref="F19:F23" si="7">2*(C19+D19)*E19</f>
        <v>396</v>
      </c>
      <c r="G19" t="s">
        <v>18</v>
      </c>
      <c r="H19" s="1">
        <v>0.1</v>
      </c>
      <c r="I19">
        <f t="shared" ref="I19:I23" si="8">F19*(1+H19)</f>
        <v>435.6</v>
      </c>
      <c r="J19" s="3">
        <f>_xlfn.XLOOKUP(A19,'Cost Database'!A:A,'Cost Database'!D:D)</f>
        <v>0.85</v>
      </c>
      <c r="K19" s="3">
        <f>_xlfn.XLOOKUP(A19,'Cost Database'!A:A,'Cost Database'!E:E)</f>
        <v>1.1499999999999999</v>
      </c>
      <c r="L19" s="3">
        <f t="shared" si="2"/>
        <v>370.26</v>
      </c>
      <c r="M19" s="3">
        <f t="shared" si="3"/>
        <v>500.94</v>
      </c>
      <c r="N19" s="3">
        <f t="shared" si="4"/>
        <v>871.2</v>
      </c>
    </row>
    <row r="20" spans="1:14">
      <c r="A20" t="s">
        <v>26</v>
      </c>
      <c r="B20" t="s">
        <v>20</v>
      </c>
      <c r="C20">
        <v>18</v>
      </c>
      <c r="D20">
        <v>14</v>
      </c>
      <c r="E20">
        <v>9</v>
      </c>
      <c r="F20">
        <f t="shared" si="7"/>
        <v>576</v>
      </c>
      <c r="G20" t="s">
        <v>18</v>
      </c>
      <c r="H20" s="1">
        <v>0.1</v>
      </c>
      <c r="I20">
        <f t="shared" si="8"/>
        <v>633.6</v>
      </c>
      <c r="J20" s="3">
        <f>_xlfn.XLOOKUP(A20,'Cost Database'!A:A,'Cost Database'!D:D)</f>
        <v>0.85</v>
      </c>
      <c r="K20" s="3">
        <f>_xlfn.XLOOKUP(A20,'Cost Database'!A:A,'Cost Database'!E:E)</f>
        <v>1.1499999999999999</v>
      </c>
      <c r="L20" s="3">
        <f t="shared" si="2"/>
        <v>538.56000000000006</v>
      </c>
      <c r="M20" s="3">
        <f t="shared" si="3"/>
        <v>728.64</v>
      </c>
      <c r="N20" s="3">
        <f t="shared" si="4"/>
        <v>1267.2</v>
      </c>
    </row>
    <row r="21" spans="1:14">
      <c r="A21" t="s">
        <v>26</v>
      </c>
      <c r="B21" t="s">
        <v>21</v>
      </c>
      <c r="C21">
        <v>12</v>
      </c>
      <c r="D21">
        <v>12</v>
      </c>
      <c r="E21">
        <v>9</v>
      </c>
      <c r="F21">
        <f t="shared" si="7"/>
        <v>432</v>
      </c>
      <c r="G21" t="s">
        <v>18</v>
      </c>
      <c r="H21" s="1">
        <v>0.1</v>
      </c>
      <c r="I21">
        <f t="shared" si="8"/>
        <v>475.20000000000005</v>
      </c>
      <c r="J21" s="3">
        <f>_xlfn.XLOOKUP(A21,'Cost Database'!A:A,'Cost Database'!D:D)</f>
        <v>0.85</v>
      </c>
      <c r="K21" s="3">
        <f>_xlfn.XLOOKUP(A21,'Cost Database'!A:A,'Cost Database'!E:E)</f>
        <v>1.1499999999999999</v>
      </c>
      <c r="L21" s="3">
        <f t="shared" si="2"/>
        <v>403.92</v>
      </c>
      <c r="M21" s="3">
        <f t="shared" si="3"/>
        <v>546.48</v>
      </c>
      <c r="N21" s="3">
        <f t="shared" si="4"/>
        <v>950.40000000000009</v>
      </c>
    </row>
    <row r="22" spans="1:14">
      <c r="A22" t="s">
        <v>26</v>
      </c>
      <c r="B22" t="s">
        <v>22</v>
      </c>
      <c r="C22">
        <v>24</v>
      </c>
      <c r="D22">
        <v>20</v>
      </c>
      <c r="E22">
        <v>9</v>
      </c>
      <c r="F22">
        <f t="shared" si="7"/>
        <v>792</v>
      </c>
      <c r="G22" t="s">
        <v>18</v>
      </c>
      <c r="H22" s="1">
        <v>0.1</v>
      </c>
      <c r="I22">
        <f t="shared" si="8"/>
        <v>871.2</v>
      </c>
      <c r="J22" s="3">
        <f>_xlfn.XLOOKUP(A22,'Cost Database'!A:A,'Cost Database'!D:D)</f>
        <v>0.85</v>
      </c>
      <c r="K22" s="3">
        <f>_xlfn.XLOOKUP(A22,'Cost Database'!A:A,'Cost Database'!E:E)</f>
        <v>1.1499999999999999</v>
      </c>
      <c r="L22" s="3">
        <f t="shared" si="2"/>
        <v>740.52</v>
      </c>
      <c r="M22" s="3">
        <f t="shared" si="3"/>
        <v>1001.88</v>
      </c>
      <c r="N22" s="3">
        <f t="shared" si="4"/>
        <v>1742.4</v>
      </c>
    </row>
    <row r="23" spans="1:14">
      <c r="A23" t="s">
        <v>26</v>
      </c>
      <c r="B23" t="s">
        <v>23</v>
      </c>
      <c r="C23">
        <v>30</v>
      </c>
      <c r="D23">
        <v>6</v>
      </c>
      <c r="E23">
        <v>9</v>
      </c>
      <c r="F23">
        <f t="shared" si="7"/>
        <v>648</v>
      </c>
      <c r="G23" t="s">
        <v>18</v>
      </c>
      <c r="H23" s="1">
        <v>0.1</v>
      </c>
      <c r="I23">
        <f t="shared" si="8"/>
        <v>712.80000000000007</v>
      </c>
      <c r="J23" s="3">
        <f>_xlfn.XLOOKUP(A23,'Cost Database'!A:A,'Cost Database'!D:D)</f>
        <v>0.85</v>
      </c>
      <c r="K23" s="3">
        <f>_xlfn.XLOOKUP(A23,'Cost Database'!A:A,'Cost Database'!E:E)</f>
        <v>1.1499999999999999</v>
      </c>
      <c r="L23" s="3">
        <f t="shared" si="2"/>
        <v>605.88</v>
      </c>
      <c r="M23" s="3">
        <f t="shared" si="3"/>
        <v>819.72</v>
      </c>
      <c r="N23" s="3">
        <f t="shared" si="4"/>
        <v>1425.6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6013-30D6-4F8C-94BA-73CFFB1D28A7}">
  <dimension ref="A1:F6"/>
  <sheetViews>
    <sheetView workbookViewId="0">
      <pane ySplit="3" topLeftCell="A4" activePane="bottomLeft" state="frozen"/>
      <selection pane="bottomLeft" activeCell="A3" sqref="A3:F3"/>
    </sheetView>
  </sheetViews>
  <sheetFormatPr defaultRowHeight="15"/>
  <cols>
    <col min="1" max="1" width="12" bestFit="1" customWidth="1"/>
    <col min="2" max="2" width="26.140625" bestFit="1" customWidth="1"/>
    <col min="4" max="4" width="17.140625" bestFit="1" customWidth="1"/>
    <col min="5" max="5" width="14.7109375" bestFit="1" customWidth="1"/>
    <col min="6" max="6" width="14.140625" bestFit="1" customWidth="1"/>
  </cols>
  <sheetData>
    <row r="1" spans="1:6" ht="18.75">
      <c r="A1" s="14" t="s">
        <v>0</v>
      </c>
    </row>
    <row r="2" spans="1:6">
      <c r="A2" s="7" t="s">
        <v>27</v>
      </c>
    </row>
    <row r="3" spans="1:6" s="21" customFormat="1">
      <c r="A3" s="13" t="s">
        <v>2</v>
      </c>
      <c r="B3" s="13" t="s">
        <v>28</v>
      </c>
      <c r="C3" s="13" t="s">
        <v>8</v>
      </c>
      <c r="D3" s="13" t="s">
        <v>11</v>
      </c>
      <c r="E3" s="13" t="s">
        <v>12</v>
      </c>
      <c r="F3" s="13" t="s">
        <v>29</v>
      </c>
    </row>
    <row r="4" spans="1:6">
      <c r="A4" t="s">
        <v>16</v>
      </c>
      <c r="B4" t="s">
        <v>30</v>
      </c>
      <c r="C4" t="s">
        <v>18</v>
      </c>
      <c r="D4" s="2">
        <v>3.25</v>
      </c>
      <c r="E4" s="2">
        <v>2</v>
      </c>
      <c r="F4" s="2">
        <f>D4+E4</f>
        <v>5.25</v>
      </c>
    </row>
    <row r="5" spans="1:6">
      <c r="A5" t="s">
        <v>24</v>
      </c>
      <c r="B5" t="s">
        <v>31</v>
      </c>
      <c r="C5" t="s">
        <v>25</v>
      </c>
      <c r="D5" s="2">
        <v>1.4</v>
      </c>
      <c r="E5" s="2">
        <v>1.25</v>
      </c>
      <c r="F5" s="2">
        <f t="shared" ref="F5:F6" si="0">D5+E5</f>
        <v>2.65</v>
      </c>
    </row>
    <row r="6" spans="1:6">
      <c r="A6" t="s">
        <v>26</v>
      </c>
      <c r="B6" t="s">
        <v>32</v>
      </c>
      <c r="C6" t="s">
        <v>18</v>
      </c>
      <c r="D6" s="2">
        <v>0.85</v>
      </c>
      <c r="E6" s="2">
        <v>1.1499999999999999</v>
      </c>
      <c r="F6" s="2">
        <f t="shared" si="0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BF98-AAAD-40CE-95EE-D1CD17A95981}">
  <dimension ref="A1:D20"/>
  <sheetViews>
    <sheetView workbookViewId="0">
      <selection activeCell="G22" sqref="G22"/>
    </sheetView>
  </sheetViews>
  <sheetFormatPr defaultRowHeight="15"/>
  <cols>
    <col min="1" max="1" width="27.42578125" bestFit="1" customWidth="1"/>
    <col min="2" max="2" width="12.85546875" bestFit="1" customWidth="1"/>
    <col min="3" max="3" width="10.42578125" bestFit="1" customWidth="1"/>
    <col min="4" max="4" width="13.85546875" bestFit="1" customWidth="1"/>
  </cols>
  <sheetData>
    <row r="1" spans="1:4" ht="18.75">
      <c r="A1" s="14" t="s">
        <v>0</v>
      </c>
    </row>
    <row r="2" spans="1:4">
      <c r="A2" s="4" t="s">
        <v>33</v>
      </c>
    </row>
    <row r="4" spans="1:4">
      <c r="A4" s="15" t="s">
        <v>34</v>
      </c>
      <c r="B4" s="15" t="s">
        <v>35</v>
      </c>
      <c r="C4" s="15" t="s">
        <v>36</v>
      </c>
      <c r="D4" s="15" t="s">
        <v>37</v>
      </c>
    </row>
    <row r="5" spans="1:4">
      <c r="A5" s="5" t="s">
        <v>16</v>
      </c>
      <c r="B5" s="3">
        <f>SUMIF('Quantity Takeoff'!$A:$A,$A5,'Quantity Takeoff'!$L:$L)</f>
        <v>4633.2000000000007</v>
      </c>
      <c r="C5" s="3">
        <f>SUMIF('Quantity Takeoff'!$A:$A,$A5,'Quantity Takeoff'!$M:$M)</f>
        <v>2851.2</v>
      </c>
      <c r="D5" s="3">
        <f>B5+C5</f>
        <v>7484.4000000000005</v>
      </c>
    </row>
    <row r="6" spans="1:4">
      <c r="A6" s="5" t="s">
        <v>24</v>
      </c>
      <c r="B6" s="3">
        <f>SUMIF('Quantity Takeoff'!$A:$A,$A6,'Quantity Takeoff'!$L:$L)</f>
        <v>554.4</v>
      </c>
      <c r="C6" s="3">
        <f>SUMIF('Quantity Takeoff'!$A:$A,$A6,'Quantity Takeoff'!$M:$M)</f>
        <v>495</v>
      </c>
      <c r="D6" s="3">
        <f t="shared" ref="D6:D7" si="0">B6+C6</f>
        <v>1049.4000000000001</v>
      </c>
    </row>
    <row r="7" spans="1:4">
      <c r="A7" s="5" t="s">
        <v>26</v>
      </c>
      <c r="B7" s="3">
        <f>SUMIF('Quantity Takeoff'!$A:$A,$A7,'Quantity Takeoff'!$L:$L)</f>
        <v>3029.4</v>
      </c>
      <c r="C7" s="3">
        <f>SUMIF('Quantity Takeoff'!$A:$A,$A7,'Quantity Takeoff'!$M:$M)</f>
        <v>4098.6000000000004</v>
      </c>
      <c r="D7" s="3">
        <f t="shared" si="0"/>
        <v>7128</v>
      </c>
    </row>
    <row r="8" spans="1:4">
      <c r="A8" s="16" t="s">
        <v>38</v>
      </c>
      <c r="B8" s="17">
        <f>SUM(B5:B7)</f>
        <v>8217</v>
      </c>
      <c r="C8" s="17">
        <f t="shared" ref="C8:D8" si="1">SUM(C5:C7)</f>
        <v>7444.8</v>
      </c>
      <c r="D8" s="17">
        <f t="shared" si="1"/>
        <v>15661.800000000001</v>
      </c>
    </row>
    <row r="10" spans="1:4">
      <c r="A10" t="s">
        <v>39</v>
      </c>
      <c r="B10" s="1">
        <v>0.05</v>
      </c>
      <c r="D10" s="3">
        <f>D8*B10</f>
        <v>783.09000000000015</v>
      </c>
    </row>
    <row r="11" spans="1:4">
      <c r="A11" t="s">
        <v>40</v>
      </c>
      <c r="B11" s="1">
        <v>0.1</v>
      </c>
      <c r="D11" s="3">
        <f>D8*B11</f>
        <v>1566.1800000000003</v>
      </c>
    </row>
    <row r="12" spans="1:4">
      <c r="A12" s="4" t="s">
        <v>41</v>
      </c>
      <c r="B12" s="4"/>
      <c r="C12" s="4"/>
      <c r="D12" s="6">
        <f>D8+D10+D11</f>
        <v>18011.07</v>
      </c>
    </row>
    <row r="13" spans="1:4">
      <c r="A13" t="s">
        <v>42</v>
      </c>
      <c r="B13" s="1">
        <v>0.08</v>
      </c>
      <c r="D13" s="3">
        <f>D12*B13</f>
        <v>1440.8856000000001</v>
      </c>
    </row>
    <row r="14" spans="1:4" ht="18.75">
      <c r="A14" s="18" t="s">
        <v>43</v>
      </c>
      <c r="B14" s="19"/>
      <c r="C14" s="19"/>
      <c r="D14" s="20">
        <f>D12+D13</f>
        <v>19451.955600000001</v>
      </c>
    </row>
    <row r="17" spans="1:1">
      <c r="A17" s="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5FA3-DD11-469B-9A6F-701760F79AAE}">
  <dimension ref="A1:I16"/>
  <sheetViews>
    <sheetView workbookViewId="0">
      <selection activeCell="H10" sqref="H10"/>
    </sheetView>
  </sheetViews>
  <sheetFormatPr defaultRowHeight="15"/>
  <cols>
    <col min="1" max="1" width="23.7109375" bestFit="1" customWidth="1"/>
    <col min="2" max="2" width="16.7109375" bestFit="1" customWidth="1"/>
    <col min="3" max="3" width="11.42578125" bestFit="1" customWidth="1"/>
    <col min="4" max="4" width="14.28515625" bestFit="1" customWidth="1"/>
    <col min="5" max="5" width="10.28515625" bestFit="1" customWidth="1"/>
    <col min="7" max="7" width="16.85546875" bestFit="1" customWidth="1"/>
    <col min="8" max="8" width="45.140625" bestFit="1" customWidth="1"/>
    <col min="9" max="9" width="18.28515625" bestFit="1" customWidth="1"/>
  </cols>
  <sheetData>
    <row r="1" spans="1:9" ht="18.75">
      <c r="A1" s="14" t="s">
        <v>0</v>
      </c>
    </row>
    <row r="2" spans="1:9">
      <c r="A2" s="7" t="s">
        <v>48</v>
      </c>
    </row>
    <row r="3" spans="1:9" s="21" customFormat="1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</row>
    <row r="4" spans="1:9">
      <c r="A4" t="s">
        <v>58</v>
      </c>
      <c r="B4" t="s">
        <v>16</v>
      </c>
      <c r="C4" s="8">
        <v>7250</v>
      </c>
      <c r="D4" s="3">
        <f>'Estimate Summary'!$D$5</f>
        <v>7484.4000000000005</v>
      </c>
      <c r="E4" s="2">
        <f>C4-D4</f>
        <v>-234.40000000000055</v>
      </c>
      <c r="F4" t="s">
        <v>59</v>
      </c>
      <c r="G4" t="s">
        <v>60</v>
      </c>
      <c r="H4" t="s">
        <v>61</v>
      </c>
      <c r="I4" t="s">
        <v>62</v>
      </c>
    </row>
    <row r="5" spans="1:9">
      <c r="A5" t="s">
        <v>63</v>
      </c>
      <c r="B5" t="s">
        <v>16</v>
      </c>
      <c r="C5" s="8">
        <v>6875</v>
      </c>
      <c r="D5" s="3">
        <f>'Estimate Summary'!$D$5</f>
        <v>7484.4000000000005</v>
      </c>
      <c r="E5" s="2">
        <f t="shared" ref="E5:E6" si="0">C5-D5</f>
        <v>-609.40000000000055</v>
      </c>
      <c r="F5" t="s">
        <v>64</v>
      </c>
      <c r="G5" t="s">
        <v>65</v>
      </c>
      <c r="H5" t="s">
        <v>66</v>
      </c>
      <c r="I5" t="s">
        <v>67</v>
      </c>
    </row>
    <row r="6" spans="1:9">
      <c r="A6" t="s">
        <v>68</v>
      </c>
      <c r="B6" t="s">
        <v>16</v>
      </c>
      <c r="C6" s="8">
        <v>8100</v>
      </c>
      <c r="D6" s="3">
        <f>'Estimate Summary'!$D$5</f>
        <v>7484.4000000000005</v>
      </c>
      <c r="E6" s="2">
        <f t="shared" si="0"/>
        <v>615.59999999999945</v>
      </c>
      <c r="F6" t="s">
        <v>69</v>
      </c>
      <c r="G6" t="s">
        <v>60</v>
      </c>
      <c r="H6" t="s">
        <v>61</v>
      </c>
      <c r="I6" t="s">
        <v>70</v>
      </c>
    </row>
    <row r="9" spans="1:9">
      <c r="A9" s="9" t="s">
        <v>71</v>
      </c>
      <c r="B9" s="9"/>
      <c r="C9" s="9"/>
      <c r="D9" s="9"/>
      <c r="E9" s="9"/>
    </row>
    <row r="10" spans="1:9">
      <c r="A10" s="4" t="s">
        <v>72</v>
      </c>
      <c r="B10" t="s">
        <v>73</v>
      </c>
    </row>
    <row r="11" spans="1:9">
      <c r="A11" s="4" t="s">
        <v>51</v>
      </c>
      <c r="B11" s="8">
        <v>7250</v>
      </c>
    </row>
    <row r="12" spans="1:9">
      <c r="A12" s="7" t="s">
        <v>74</v>
      </c>
      <c r="B12" s="2">
        <f>E4</f>
        <v>-234.40000000000055</v>
      </c>
    </row>
    <row r="13" spans="1:9" ht="45.75" customHeight="1">
      <c r="A13" s="11" t="s">
        <v>75</v>
      </c>
      <c r="B13" s="10" t="s">
        <v>76</v>
      </c>
      <c r="C13" s="10"/>
      <c r="D13" s="10"/>
      <c r="E13" s="10"/>
    </row>
    <row r="15" spans="1:9">
      <c r="A15" s="7" t="s">
        <v>77</v>
      </c>
      <c r="B15" s="10" t="s">
        <v>78</v>
      </c>
      <c r="C15" s="10"/>
      <c r="D15" s="10"/>
      <c r="E15" s="10"/>
    </row>
    <row r="16" spans="1:9" ht="51" customHeight="1">
      <c r="B16" s="10"/>
      <c r="C16" s="10"/>
      <c r="D16" s="10"/>
      <c r="E16" s="10"/>
    </row>
  </sheetData>
  <mergeCells count="3">
    <mergeCell ref="A9:E9"/>
    <mergeCell ref="B13:E13"/>
    <mergeCell ref="B15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A792-22F8-4B70-A7A6-A2DCB2C99920}">
  <dimension ref="A1:E27"/>
  <sheetViews>
    <sheetView tabSelected="1" workbookViewId="0">
      <selection activeCell="A4" sqref="A4:E4"/>
    </sheetView>
  </sheetViews>
  <sheetFormatPr defaultRowHeight="15"/>
  <cols>
    <col min="1" max="1" width="94.85546875" bestFit="1" customWidth="1"/>
    <col min="2" max="2" width="12.85546875" bestFit="1" customWidth="1"/>
    <col min="3" max="3" width="10.42578125" bestFit="1" customWidth="1"/>
    <col min="4" max="4" width="9.85546875" bestFit="1" customWidth="1"/>
    <col min="5" max="5" width="15.140625" bestFit="1" customWidth="1"/>
  </cols>
  <sheetData>
    <row r="1" spans="1:5" ht="18.75">
      <c r="A1" s="14" t="s">
        <v>0</v>
      </c>
    </row>
    <row r="2" spans="1:5">
      <c r="A2" s="4" t="s">
        <v>79</v>
      </c>
    </row>
    <row r="4" spans="1:5">
      <c r="A4" s="15" t="s">
        <v>34</v>
      </c>
      <c r="B4" s="15" t="s">
        <v>35</v>
      </c>
      <c r="C4" s="15" t="s">
        <v>36</v>
      </c>
      <c r="D4" s="15" t="s">
        <v>37</v>
      </c>
      <c r="E4" s="15" t="s">
        <v>80</v>
      </c>
    </row>
    <row r="5" spans="1:5">
      <c r="A5" t="s">
        <v>16</v>
      </c>
      <c r="B5" s="3">
        <f>'Estimate Summary'!B5</f>
        <v>4633.2000000000007</v>
      </c>
      <c r="C5" s="3">
        <f>'Estimate Summary'!C5</f>
        <v>2851.2</v>
      </c>
      <c r="D5" s="3">
        <f>'Estimate Summary'!D5</f>
        <v>7484.4000000000005</v>
      </c>
      <c r="E5" s="12">
        <f>D5/'Estimate Summary'!$D$8</f>
        <v>0.47787610619469029</v>
      </c>
    </row>
    <row r="6" spans="1:5">
      <c r="A6" t="s">
        <v>24</v>
      </c>
      <c r="B6" s="3">
        <f>'Estimate Summary'!B6</f>
        <v>554.4</v>
      </c>
      <c r="C6" s="3">
        <f>'Estimate Summary'!C6</f>
        <v>495</v>
      </c>
      <c r="D6" s="3">
        <f>'Estimate Summary'!D6</f>
        <v>1049.4000000000001</v>
      </c>
      <c r="E6" s="12">
        <f>D6/'Estimate Summary'!$D$8</f>
        <v>6.7003792667509485E-2</v>
      </c>
    </row>
    <row r="7" spans="1:5">
      <c r="A7" t="s">
        <v>26</v>
      </c>
      <c r="B7" s="3">
        <f>'Estimate Summary'!B7</f>
        <v>3029.4</v>
      </c>
      <c r="C7" s="3">
        <f>'Estimate Summary'!C7</f>
        <v>4098.6000000000004</v>
      </c>
      <c r="D7" s="3">
        <f>'Estimate Summary'!D7</f>
        <v>7128</v>
      </c>
      <c r="E7" s="12">
        <f>D7/'Estimate Summary'!$D$8</f>
        <v>0.45512010113780021</v>
      </c>
    </row>
    <row r="24" spans="1:1">
      <c r="A24" s="4" t="s">
        <v>81</v>
      </c>
    </row>
    <row r="25" spans="1:1">
      <c r="A25" t="s">
        <v>82</v>
      </c>
    </row>
    <row r="26" spans="1:1">
      <c r="A26" t="s">
        <v>83</v>
      </c>
    </row>
    <row r="27" spans="1:1">
      <c r="A27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2026-08-08T19:53:28Z</dcterms:created>
  <dcterms:modified xsi:type="dcterms:W3CDTF">2026-08-11T16:05:33Z</dcterms:modified>
  <cp:category/>
  <cp:contentStatus/>
</cp:coreProperties>
</file>